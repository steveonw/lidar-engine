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36f7b806e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154070bf5bd49e8"/>
    <x:sheet xmlns:r="http://schemas.openxmlformats.org/officeDocument/2006/relationships" name="SweepPlan" sheetId="2" r:id="R444eabff7ed84519"/>
    <x:sheet xmlns:r="http://schemas.openxmlformats.org/officeDocument/2006/relationships" name="ScoringTargets" sheetId="3" r:id="Rd7adc18687434d19"/>
    <x:sheet xmlns:r="http://schemas.openxmlformats.org/officeDocument/2006/relationships" name="MaterialThresholdIdeas" sheetId="4" r:id="Rce8fa700f903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93b5574474e0b" /><Relationship Type="http://schemas.openxmlformats.org/officeDocument/2006/relationships/theme" Target="/xl/theme/theme1.xml" Id="R14f8b2290fc542b2" /><Relationship Type="http://schemas.microsoft.com/office/2022/11/relationships/FeaturePropertyBag" Target="/xl/featurePropertyBag/featurePropertyBag.xml" Id="R4cfebf0f006b45e7" /><Relationship Type="http://schemas.openxmlformats.org/officeDocument/2006/relationships/sharedStrings" Target="/xl/sharedStrings.xml" Id="Rc0253ea5c155414a" /><Relationship Type="http://schemas.openxmlformats.org/officeDocument/2006/relationships/worksheet" Target="/xl/worksheets/sheet1.xml" Id="Re154070bf5bd49e8" /><Relationship Type="http://schemas.openxmlformats.org/officeDocument/2006/relationships/worksheet" Target="/xl/worksheets/sheet2.xml" Id="R444eabff7ed84519" /><Relationship Type="http://schemas.openxmlformats.org/officeDocument/2006/relationships/worksheet" Target="/xl/worksheets/sheet3.xml" Id="Rd7adc18687434d19" /><Relationship Type="http://schemas.openxmlformats.org/officeDocument/2006/relationships/worksheet" Target="/xl/worksheets/sheet4.xml" Id="Rce8fa700f9034d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weepPlanTable" displayName="SweepPlanTable" ref="A1:M45" headerRowCount="1">
  <x:tableColumns count="13">
    <x:tableColumn id="1" name="scene"/>
    <x:tableColumn id="2" name="preset"/>
    <x:tableColumn id="3" name="width"/>
    <x:tableColumn id="4" name="height"/>
    <x:tableColumn id="5" name="rays_per_pixel"/>
    <x:tableColumn id="6" name="stack"/>
    <x:tableColumn id="7" name="carrier_strength"/>
    <x:tableColumn id="8" name="edge_anti_min"/>
    <x:tableColumn id="9" name="adaptive_edge_percentile"/>
    <x:tableColumn id="10" name="carrier_mode"/>
    <x:tableColumn id="11" name="include_polarization"/>
    <x:tableColumn id="12" name="seed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coringTargetsTable" displayName="ScoringTargetsTable" ref="A1:C9" headerRowCount="1">
  <x:tableColumns count="3">
    <x:tableColumn id="1" name="Metric"/>
    <x:tableColumn id="2" name="Target / interpretation"/>
    <x:tableColumn id="3" name="Why it matters"/>
  </x:tableColumns>
  <x:tableStyleInfo name="TableStyleMedium2" showRowStripes="1"/>
</x:table>
</file>

<file path=xl/tables/table3.xml><?xml version="1.0" encoding="utf-8"?>
<x:table xmlns:x="http://schemas.openxmlformats.org/spreadsheetml/2006/main" id="3" name="MaterialThresholdIdeasTable" displayName="MaterialThresholdIdeasTable" ref="A1:D7" headerRowCount="1">
  <x:tableColumns count="4">
    <x:tableColumn id="1" name="Field to tune later"/>
    <x:tableColumn id="2" name="Current likely behavior"/>
    <x:tableColumn id="3" name="Candidate values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3bbaf65f944a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98c0416ef945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be46787d294a6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  <x:col min="4" max="4" width="24" hidden="0" customWidth="1"/>
    <x:col min="5" max="5" width="24" hidden="0" customWidth="1"/>
  </x:cols>
  <x:sheetData>
    <x:row r="1" ht="28" customHeight="1">
      <x:c r="A1" s="12" t="str">
        <x:v>LiDAR Wave Sweep Plan v0.5.9 — material-label focus</x:v>
      </x:c>
      <x:c r="B1" s="13" t="str"/>
      <x:c r="D1" s="18" t="str">
        <x:v>Plan summary</x:v>
      </x:c>
      <x:c r="E1" s="18" t="str">
        <x:v>Value</x:v>
      </x:c>
    </x:row>
    <x:row r="2">
      <x:c r="A2" s="13" t="str">
        <x:v>Created</x:v>
      </x:c>
      <x:c r="B2" s="13" t="str">
        <x:v>2026-05-17 04:05</x:v>
      </x:c>
      <x:c r="D2" t="str">
        <x:v>Total runs</x:v>
      </x:c>
      <x:c r="E2" t="n">
        <x:f>COUNTA(SweepPlan!A2:A45)</x:f>
        <x:v>44</x:v>
      </x:c>
    </x:row>
    <x:row r="3">
      <x:c r="A3" s="13" t="str"/>
      <x:c r="B3" s="13" t="str"/>
      <x:c r="D3" t="str">
        <x:v>Material-target rows</x:v>
      </x:c>
      <x:c r="E3" t="n">
        <x:f>COUNTIF(SweepPlan!A2:A45,"material_targets")</x:f>
        <x:v>34</x:v>
      </x:c>
    </x:row>
    <x:row r="4">
      <x:c r="A4" s="14" t="str">
        <x:v>How to use</x:v>
      </x:c>
      <x:c r="B4" s="14" t="str"/>
      <x:c r="D4" t="str">
        <x:v>Polarization rows</x:v>
      </x:c>
      <x:c r="E4" t="n">
        <x:f>COUNTIF(SweepPlan!K2:K45,TRUE)</x:f>
        <x:v>0</x:v>
      </x:c>
    </x:row>
    <x:row r="5">
      <x:c r="A5" s="13" t="str">
        <x:v>1.</x:v>
      </x:c>
      <x:c r="B5" s="13" t="str">
        <x:v>In the upload-A+B Colab notebook, upload File A = your current engine .py.</x:v>
      </x:c>
    </x:row>
    <x:row r="6">
      <x:c r="A6" s="13" t="str">
        <x:v>2.</x:v>
      </x:c>
      <x:c r="B6" s="13" t="str">
        <x:v>Upload File B = this workbook.</x:v>
      </x:c>
    </x:row>
    <x:row r="7">
      <x:c r="A7" s="13" t="str">
        <x:v>3.</x:v>
      </x:c>
      <x:c r="B7" s="13" t="str">
        <x:v>Run the sweep. The notebook should read the SweepPlan sheet.</x:v>
      </x:c>
    </x:row>
    <x:row r="8">
      <x:c r="A8" s="13" t="str">
        <x:v>4.</x:v>
      </x:c>
      <x:c r="B8" s="13" t="str">
        <x:v>Review top_contact_sheets.png plus sweep_metrics.xlsx/CSV.</x:v>
      </x:c>
    </x:row>
    <x:row r="9">
      <x:c r="A9" s="13" t="str"/>
      <x:c r="B9" s="13" t="str"/>
    </x:row>
    <x:row r="10">
      <x:c r="A10" s="14" t="str">
        <x:v>Purpose</x:v>
      </x:c>
      <x:c r="B10" s="14" t="str"/>
    </x:row>
    <x:row r="11">
      <x:c r="A11" s="13" t="str"/>
      <x:c r="B11" s="13" t="str">
        <x:v>This round focuses on material_targets/material_scan because raw channels are working but hard material labels are still conservative.</x:v>
      </x:c>
    </x:row>
    <x:row r="12">
      <x:c r="A12" s="13" t="str"/>
      <x:c r="B12" s="13" t="str">
        <x:v>It also includes mini_saloon, occluder_gate, and cabin_demo regression rows so changes do not break known-good behavior.</x:v>
      </x:c>
    </x:row>
    <x:row r="13">
      <x:c r="A13" s="13" t="str"/>
      <x:c r="B13" s="13" t="str"/>
    </x:row>
    <x:row r="14">
      <x:c r="A14" s="14" t="str">
        <x:v>Expected use</x:v>
      </x:c>
      <x:c r="B14" s="14" t="str"/>
    </x:row>
    <x:row r="15">
      <x:c r="A15" s="13" t="str"/>
      <x:c r="B15" s="13" t="str">
        <x:v>Find whether carrier strength, edge gates, stack count, and polarization improve material separation before changing classifier thresholds.</x:v>
      </x:c>
    </x:row>
    <x:row r="16">
      <x:c r="A16" s="13"/>
      <x:c r="B16" s="13"/>
    </x:row>
    <x:row r="17">
      <x:c r="A17" s="13"/>
      <x:c r="B17" s="13"/>
    </x:row>
    <x:row r="18">
      <x:c r="A18" s="13"/>
      <x:c r="B18" s="13"/>
    </x:row>
    <x:row r="19">
      <x:c r="A19" s="13"/>
      <x:c r="B19" s="13"/>
    </x:row>
    <x:row r="20">
      <x:c r="A20" s="13"/>
      <x:c r="B20" s="13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0" hidden="0" customWidth="1"/>
    <x:col min="5" max="5" width="14" hidden="0" customWidth="1"/>
    <x:col min="6" max="6" width="10" hidden="0" customWidth="1"/>
    <x:col min="7" max="7" width="16" hidden="0" customWidth="1"/>
    <x:col min="8" max="8" width="14" hidden="0" customWidth="1"/>
    <x:col min="9" max="9" width="22" hidden="0" customWidth="1"/>
    <x:col min="10" max="10" width="14" hidden="0" customWidth="1"/>
    <x:col min="11" max="11" width="18" hidden="0" customWidth="1"/>
    <x:col min="12" max="12" width="10" hidden="0" customWidth="1"/>
    <x:col min="13" max="13" width="58" hidden="0" customWidth="1"/>
  </x:cols>
  <x:sheetData>
    <x:row r="1">
      <x:c r="A1" s="20" t="str">
        <x:v>scene</x:v>
      </x:c>
      <x:c r="B1" s="20" t="str">
        <x:v>preset</x:v>
      </x:c>
      <x:c r="C1" s="20" t="str">
        <x:v>width</x:v>
      </x:c>
      <x:c r="D1" s="20" t="str">
        <x:v>height</x:v>
      </x:c>
      <x:c r="E1" s="20" t="str">
        <x:v>rays_per_pixel</x:v>
      </x:c>
      <x:c r="F1" s="20" t="str">
        <x:v>stack</x:v>
      </x:c>
      <x:c r="G1" s="20" t="str">
        <x:v>carrier_strength</x:v>
      </x:c>
      <x:c r="H1" s="20" t="str">
        <x:v>edge_anti_min</x:v>
      </x:c>
      <x:c r="I1" s="20" t="str">
        <x:v>adaptive_edge_percentile</x:v>
      </x:c>
      <x:c r="J1" s="20" t="str">
        <x:v>carrier_mode</x:v>
      </x:c>
      <x:c r="K1" s="20" t="str">
        <x:v>include_polarization</x:v>
      </x:c>
      <x:c r="L1" s="20" t="str">
        <x:v>seed</x:v>
      </x:c>
      <x:c r="M1" s="20" t="str">
        <x:v>notes</x:v>
      </x:c>
    </x:row>
    <x:row r="2">
      <x:c r="A2" s="13" t="str">
        <x:v>material_targets</x:v>
      </x:c>
      <x:c r="B2" s="13" t="str">
        <x:v>material_scan</x:v>
      </x:c>
      <x:c r="C2" s="13" t="n">
        <x:v>480</x:v>
      </x:c>
      <x:c r="D2" s="13" t="n">
        <x:v>320</x:v>
      </x:c>
      <x:c r="E2" s="13" t="n">
        <x:v>8</x:v>
      </x:c>
      <x:c r="F2" s="13" t="n">
        <x:v>4</x:v>
      </x:c>
      <x:c r="G2" s="13" t="n">
        <x:v>0.3</x:v>
      </x:c>
      <x:c r="H2" s="13" t="n">
        <x:v>0.3</x:v>
      </x:c>
      <x:c r="I2" s="13" t="n">
        <x:v>90</x:v>
      </x:c>
      <x:c r="J2" s="13" t="str">
        <x:v>ensemble</x:v>
      </x:c>
      <x:c r="K2" s="22" t="b">
        <x:v>0</x:v>
      </x:c>
      <x:c r="L2" s="13" t="n">
        <x:v>4200</x:v>
      </x:c>
      <x:c r="M2" s="13" t="str">
        <x:v>material labels: carrier=0.3, edge=0.3, adapt=90, pol=False</x:v>
      </x:c>
    </x:row>
    <x:row r="3">
      <x:c r="A3" s="13" t="str">
        <x:v>material_targets</x:v>
      </x:c>
      <x:c r="B3" s="13" t="str">
        <x:v>material_scan</x:v>
      </x:c>
      <x:c r="C3" s="13" t="n">
        <x:v>480</x:v>
      </x:c>
      <x:c r="D3" s="13" t="n">
        <x:v>320</x:v>
      </x:c>
      <x:c r="E3" s="13" t="n">
        <x:v>8</x:v>
      </x:c>
      <x:c r="F3" s="13" t="n">
        <x:v>4</x:v>
      </x:c>
      <x:c r="G3" s="13" t="n">
        <x:v>0.3</x:v>
      </x:c>
      <x:c r="H3" s="13" t="n">
        <x:v>0.3</x:v>
      </x:c>
      <x:c r="I3" s="13" t="n">
        <x:v>94</x:v>
      </x:c>
      <x:c r="J3" s="13" t="str">
        <x:v>ensemble</x:v>
      </x:c>
      <x:c r="K3" s="22" t="b">
        <x:v>1</x:v>
      </x:c>
      <x:c r="L3" s="13" t="n">
        <x:v>4201</x:v>
      </x:c>
      <x:c r="M3" s="13" t="str">
        <x:v>material labels: carrier=0.3, edge=0.3, adapt=94, pol=True</x:v>
      </x:c>
    </x:row>
    <x:row r="4">
      <x:c r="A4" s="13" t="str">
        <x:v>material_targets</x:v>
      </x:c>
      <x:c r="B4" s="13" t="str">
        <x:v>material_scan</x:v>
      </x:c>
      <x:c r="C4" s="13" t="n">
        <x:v>480</x:v>
      </x:c>
      <x:c r="D4" s="13" t="n">
        <x:v>320</x:v>
      </x:c>
      <x:c r="E4" s="13" t="n">
        <x:v>8</x:v>
      </x:c>
      <x:c r="F4" s="13" t="n">
        <x:v>4</x:v>
      </x:c>
      <x:c r="G4" s="13" t="n">
        <x:v>0.3</x:v>
      </x:c>
      <x:c r="H4" s="13" t="n">
        <x:v>0.38</x:v>
      </x:c>
      <x:c r="I4" s="13" t="n">
        <x:v>90</x:v>
      </x:c>
      <x:c r="J4" s="13" t="str">
        <x:v>ensemble</x:v>
      </x:c>
      <x:c r="K4" s="22" t="b">
        <x:v>0</x:v>
      </x:c>
      <x:c r="L4" s="13" t="n">
        <x:v>4202</x:v>
      </x:c>
      <x:c r="M4" s="13" t="str">
        <x:v>material labels: carrier=0.3, edge=0.38, adapt=90, pol=False</x:v>
      </x:c>
    </x:row>
    <x:row r="5">
      <x:c r="A5" s="13" t="str">
        <x:v>material_targets</x:v>
      </x:c>
      <x:c r="B5" s="13" t="str">
        <x:v>material_scan</x:v>
      </x:c>
      <x:c r="C5" s="13" t="n">
        <x:v>480</x:v>
      </x:c>
      <x:c r="D5" s="13" t="n">
        <x:v>320</x:v>
      </x:c>
      <x:c r="E5" s="13" t="n">
        <x:v>8</x:v>
      </x:c>
      <x:c r="F5" s="13" t="n">
        <x:v>4</x:v>
      </x:c>
      <x:c r="G5" s="13" t="n">
        <x:v>0.3</x:v>
      </x:c>
      <x:c r="H5" s="13" t="n">
        <x:v>0.38</x:v>
      </x:c>
      <x:c r="I5" s="13" t="n">
        <x:v>94</x:v>
      </x:c>
      <x:c r="J5" s="13" t="str">
        <x:v>ensemble</x:v>
      </x:c>
      <x:c r="K5" s="22" t="b">
        <x:v>1</x:v>
      </x:c>
      <x:c r="L5" s="13" t="n">
        <x:v>4203</x:v>
      </x:c>
      <x:c r="M5" s="13" t="str">
        <x:v>material labels: carrier=0.3, edge=0.38, adapt=94, pol=True</x:v>
      </x:c>
    </x:row>
    <x:row r="6">
      <x:c r="A6" s="13" t="str">
        <x:v>material_targets</x:v>
      </x:c>
      <x:c r="B6" s="13" t="str">
        <x:v>material_scan</x:v>
      </x:c>
      <x:c r="C6" s="13" t="n">
        <x:v>480</x:v>
      </x:c>
      <x:c r="D6" s="13" t="n">
        <x:v>320</x:v>
      </x:c>
      <x:c r="E6" s="13" t="n">
        <x:v>8</x:v>
      </x:c>
      <x:c r="F6" s="13" t="n">
        <x:v>4</x:v>
      </x:c>
      <x:c r="G6" s="13" t="n">
        <x:v>0.3</x:v>
      </x:c>
      <x:c r="H6" s="13" t="n">
        <x:v>0.45</x:v>
      </x:c>
      <x:c r="I6" s="13" t="n">
        <x:v>90</x:v>
      </x:c>
      <x:c r="J6" s="13" t="str">
        <x:v>ensemble</x:v>
      </x:c>
      <x:c r="K6" s="22" t="b">
        <x:v>0</x:v>
      </x:c>
      <x:c r="L6" s="13" t="n">
        <x:v>4204</x:v>
      </x:c>
      <x:c r="M6" s="13" t="str">
        <x:v>material labels: carrier=0.3, edge=0.45, adapt=90, pol=False</x:v>
      </x:c>
    </x:row>
    <x:row r="7">
      <x:c r="A7" s="13" t="str">
        <x:v>material_targets</x:v>
      </x:c>
      <x:c r="B7" s="13" t="str">
        <x:v>material_scan</x:v>
      </x:c>
      <x:c r="C7" s="13" t="n">
        <x:v>480</x:v>
      </x:c>
      <x:c r="D7" s="13" t="n">
        <x:v>320</x:v>
      </x:c>
      <x:c r="E7" s="13" t="n">
        <x:v>8</x:v>
      </x:c>
      <x:c r="F7" s="13" t="n">
        <x:v>4</x:v>
      </x:c>
      <x:c r="G7" s="13" t="n">
        <x:v>0.3</x:v>
      </x:c>
      <x:c r="H7" s="13" t="n">
        <x:v>0.45</x:v>
      </x:c>
      <x:c r="I7" s="13" t="n">
        <x:v>94</x:v>
      </x:c>
      <x:c r="J7" s="13" t="str">
        <x:v>ensemble</x:v>
      </x:c>
      <x:c r="K7" s="22" t="b">
        <x:v>1</x:v>
      </x:c>
      <x:c r="L7" s="13" t="n">
        <x:v>4205</x:v>
      </x:c>
      <x:c r="M7" s="13" t="str">
        <x:v>material labels: carrier=0.3, edge=0.45, adapt=94, pol=True</x:v>
      </x:c>
    </x:row>
    <x:row r="8">
      <x:c r="A8" s="13" t="str">
        <x:v>material_targets</x:v>
      </x:c>
      <x:c r="B8" s="13" t="str">
        <x:v>material_scan</x:v>
      </x:c>
      <x:c r="C8" s="13" t="n">
        <x:v>480</x:v>
      </x:c>
      <x:c r="D8" s="13" t="n">
        <x:v>320</x:v>
      </x:c>
      <x:c r="E8" s="13" t="n">
        <x:v>8</x:v>
      </x:c>
      <x:c r="F8" s="13" t="n">
        <x:v>4</x:v>
      </x:c>
      <x:c r="G8" s="13" t="n">
        <x:v>0.45</x:v>
      </x:c>
      <x:c r="H8" s="13" t="n">
        <x:v>0.3</x:v>
      </x:c>
      <x:c r="I8" s="13" t="n">
        <x:v>90</x:v>
      </x:c>
      <x:c r="J8" s="13" t="str">
        <x:v>ensemble</x:v>
      </x:c>
      <x:c r="K8" s="22" t="b">
        <x:v>0</x:v>
      </x:c>
      <x:c r="L8" s="13" t="n">
        <x:v>4206</x:v>
      </x:c>
      <x:c r="M8" s="13" t="str">
        <x:v>material labels: carrier=0.45, edge=0.3, adapt=90, pol=False</x:v>
      </x:c>
    </x:row>
    <x:row r="9">
      <x:c r="A9" s="13" t="str">
        <x:v>material_targets</x:v>
      </x:c>
      <x:c r="B9" s="13" t="str">
        <x:v>material_scan</x:v>
      </x:c>
      <x:c r="C9" s="13" t="n">
        <x:v>480</x:v>
      </x:c>
      <x:c r="D9" s="13" t="n">
        <x:v>320</x:v>
      </x:c>
      <x:c r="E9" s="13" t="n">
        <x:v>8</x:v>
      </x:c>
      <x:c r="F9" s="13" t="n">
        <x:v>4</x:v>
      </x:c>
      <x:c r="G9" s="13" t="n">
        <x:v>0.45</x:v>
      </x:c>
      <x:c r="H9" s="13" t="n">
        <x:v>0.3</x:v>
      </x:c>
      <x:c r="I9" s="13" t="n">
        <x:v>94</x:v>
      </x:c>
      <x:c r="J9" s="13" t="str">
        <x:v>ensemble</x:v>
      </x:c>
      <x:c r="K9" s="22" t="b">
        <x:v>1</x:v>
      </x:c>
      <x:c r="L9" s="13" t="n">
        <x:v>4207</x:v>
      </x:c>
      <x:c r="M9" s="13" t="str">
        <x:v>material labels: carrier=0.45, edge=0.3, adapt=94, pol=True</x:v>
      </x:c>
    </x:row>
    <x:row r="10">
      <x:c r="A10" s="13" t="str">
        <x:v>material_targets</x:v>
      </x:c>
      <x:c r="B10" s="13" t="str">
        <x:v>material_scan</x:v>
      </x:c>
      <x:c r="C10" s="13" t="n">
        <x:v>480</x:v>
      </x:c>
      <x:c r="D10" s="13" t="n">
        <x:v>320</x:v>
      </x:c>
      <x:c r="E10" s="13" t="n">
        <x:v>8</x:v>
      </x:c>
      <x:c r="F10" s="13" t="n">
        <x:v>4</x:v>
      </x:c>
      <x:c r="G10" s="13" t="n">
        <x:v>0.45</x:v>
      </x:c>
      <x:c r="H10" s="13" t="n">
        <x:v>0.38</x:v>
      </x:c>
      <x:c r="I10" s="13" t="n">
        <x:v>90</x:v>
      </x:c>
      <x:c r="J10" s="13" t="str">
        <x:v>ensemble</x:v>
      </x:c>
      <x:c r="K10" s="22" t="b">
        <x:v>0</x:v>
      </x:c>
      <x:c r="L10" s="13" t="n">
        <x:v>4208</x:v>
      </x:c>
      <x:c r="M10" s="13" t="str">
        <x:v>material labels: carrier=0.45, edge=0.38, adapt=90, pol=False</x:v>
      </x:c>
    </x:row>
    <x:row r="11">
      <x:c r="A11" s="13" t="str">
        <x:v>material_targets</x:v>
      </x:c>
      <x:c r="B11" s="13" t="str">
        <x:v>material_scan</x:v>
      </x:c>
      <x:c r="C11" s="13" t="n">
        <x:v>480</x:v>
      </x:c>
      <x:c r="D11" s="13" t="n">
        <x:v>320</x:v>
      </x:c>
      <x:c r="E11" s="13" t="n">
        <x:v>8</x:v>
      </x:c>
      <x:c r="F11" s="13" t="n">
        <x:v>4</x:v>
      </x:c>
      <x:c r="G11" s="13" t="n">
        <x:v>0.45</x:v>
      </x:c>
      <x:c r="H11" s="13" t="n">
        <x:v>0.38</x:v>
      </x:c>
      <x:c r="I11" s="13" t="n">
        <x:v>94</x:v>
      </x:c>
      <x:c r="J11" s="13" t="str">
        <x:v>ensemble</x:v>
      </x:c>
      <x:c r="K11" s="22" t="b">
        <x:v>1</x:v>
      </x:c>
      <x:c r="L11" s="13" t="n">
        <x:v>4209</x:v>
      </x:c>
      <x:c r="M11" s="13" t="str">
        <x:v>material labels: carrier=0.45, edge=0.38, adapt=94, pol=True</x:v>
      </x:c>
    </x:row>
    <x:row r="12">
      <x:c r="A12" s="13" t="str">
        <x:v>material_targets</x:v>
      </x:c>
      <x:c r="B12" s="13" t="str">
        <x:v>material_scan</x:v>
      </x:c>
      <x:c r="C12" s="13" t="n">
        <x:v>480</x:v>
      </x:c>
      <x:c r="D12" s="13" t="n">
        <x:v>320</x:v>
      </x:c>
      <x:c r="E12" s="13" t="n">
        <x:v>8</x:v>
      </x:c>
      <x:c r="F12" s="13" t="n">
        <x:v>4</x:v>
      </x:c>
      <x:c r="G12" s="13" t="n">
        <x:v>0.45</x:v>
      </x:c>
      <x:c r="H12" s="13" t="n">
        <x:v>0.45</x:v>
      </x:c>
      <x:c r="I12" s="13" t="n">
        <x:v>90</x:v>
      </x:c>
      <x:c r="J12" s="13" t="str">
        <x:v>ensemble</x:v>
      </x:c>
      <x:c r="K12" s="22" t="b">
        <x:v>0</x:v>
      </x:c>
      <x:c r="L12" s="13" t="n">
        <x:v>4210</x:v>
      </x:c>
      <x:c r="M12" s="13" t="str">
        <x:v>material labels: carrier=0.45, edge=0.45, adapt=90, pol=False</x:v>
      </x:c>
    </x:row>
    <x:row r="13">
      <x:c r="A13" s="13" t="str">
        <x:v>material_targets</x:v>
      </x:c>
      <x:c r="B13" s="13" t="str">
        <x:v>material_scan</x:v>
      </x:c>
      <x:c r="C13" s="13" t="n">
        <x:v>480</x:v>
      </x:c>
      <x:c r="D13" s="13" t="n">
        <x:v>320</x:v>
      </x:c>
      <x:c r="E13" s="13" t="n">
        <x:v>8</x:v>
      </x:c>
      <x:c r="F13" s="13" t="n">
        <x:v>4</x:v>
      </x:c>
      <x:c r="G13" s="13" t="n">
        <x:v>0.45</x:v>
      </x:c>
      <x:c r="H13" s="13" t="n">
        <x:v>0.45</x:v>
      </x:c>
      <x:c r="I13" s="13" t="n">
        <x:v>94</x:v>
      </x:c>
      <x:c r="J13" s="13" t="str">
        <x:v>ensemble</x:v>
      </x:c>
      <x:c r="K13" s="22" t="b">
        <x:v>1</x:v>
      </x:c>
      <x:c r="L13" s="13" t="n">
        <x:v>4211</x:v>
      </x:c>
      <x:c r="M13" s="13" t="str">
        <x:v>material labels: carrier=0.45, edge=0.45, adapt=94, pol=True</x:v>
      </x:c>
    </x:row>
    <x:row r="14">
      <x:c r="A14" s="13" t="str">
        <x:v>material_targets</x:v>
      </x:c>
      <x:c r="B14" s="13" t="str">
        <x:v>material_scan</x:v>
      </x:c>
      <x:c r="C14" s="13" t="n">
        <x:v>480</x:v>
      </x:c>
      <x:c r="D14" s="13" t="n">
        <x:v>320</x:v>
      </x:c>
      <x:c r="E14" s="13" t="n">
        <x:v>8</x:v>
      </x:c>
      <x:c r="F14" s="13" t="n">
        <x:v>4</x:v>
      </x:c>
      <x:c r="G14" s="13" t="n">
        <x:v>0.6</x:v>
      </x:c>
      <x:c r="H14" s="13" t="n">
        <x:v>0.3</x:v>
      </x:c>
      <x:c r="I14" s="13" t="n">
        <x:v>90</x:v>
      </x:c>
      <x:c r="J14" s="13" t="str">
        <x:v>ensemble</x:v>
      </x:c>
      <x:c r="K14" s="22" t="b">
        <x:v>0</x:v>
      </x:c>
      <x:c r="L14" s="13" t="n">
        <x:v>4212</x:v>
      </x:c>
      <x:c r="M14" s="13" t="str">
        <x:v>material labels: carrier=0.6, edge=0.3, adapt=90, pol=False</x:v>
      </x:c>
    </x:row>
    <x:row r="15">
      <x:c r="A15" s="13" t="str">
        <x:v>material_targets</x:v>
      </x:c>
      <x:c r="B15" s="13" t="str">
        <x:v>material_scan</x:v>
      </x:c>
      <x:c r="C15" s="13" t="n">
        <x:v>480</x:v>
      </x:c>
      <x:c r="D15" s="13" t="n">
        <x:v>320</x:v>
      </x:c>
      <x:c r="E15" s="13" t="n">
        <x:v>8</x:v>
      </x:c>
      <x:c r="F15" s="13" t="n">
        <x:v>4</x:v>
      </x:c>
      <x:c r="G15" s="13" t="n">
        <x:v>0.6</x:v>
      </x:c>
      <x:c r="H15" s="13" t="n">
        <x:v>0.3</x:v>
      </x:c>
      <x:c r="I15" s="13" t="n">
        <x:v>94</x:v>
      </x:c>
      <x:c r="J15" s="13" t="str">
        <x:v>ensemble</x:v>
      </x:c>
      <x:c r="K15" s="22" t="b">
        <x:v>1</x:v>
      </x:c>
      <x:c r="L15" s="13" t="n">
        <x:v>4213</x:v>
      </x:c>
      <x:c r="M15" s="13" t="str">
        <x:v>material labels: carrier=0.6, edge=0.3, adapt=94, pol=True</x:v>
      </x:c>
    </x:row>
    <x:row r="16">
      <x:c r="A16" s="13" t="str">
        <x:v>material_targets</x:v>
      </x:c>
      <x:c r="B16" s="13" t="str">
        <x:v>material_scan</x:v>
      </x:c>
      <x:c r="C16" s="13" t="n">
        <x:v>480</x:v>
      </x:c>
      <x:c r="D16" s="13" t="n">
        <x:v>320</x:v>
      </x:c>
      <x:c r="E16" s="13" t="n">
        <x:v>8</x:v>
      </x:c>
      <x:c r="F16" s="13" t="n">
        <x:v>4</x:v>
      </x:c>
      <x:c r="G16" s="13" t="n">
        <x:v>0.6</x:v>
      </x:c>
      <x:c r="H16" s="13" t="n">
        <x:v>0.38</x:v>
      </x:c>
      <x:c r="I16" s="13" t="n">
        <x:v>90</x:v>
      </x:c>
      <x:c r="J16" s="13" t="str">
        <x:v>ensemble</x:v>
      </x:c>
      <x:c r="K16" s="22" t="b">
        <x:v>0</x:v>
      </x:c>
      <x:c r="L16" s="13" t="n">
        <x:v>4214</x:v>
      </x:c>
      <x:c r="M16" s="13" t="str">
        <x:v>material labels: carrier=0.6, edge=0.38, adapt=90, pol=False</x:v>
      </x:c>
    </x:row>
    <x:row r="17">
      <x:c r="A17" s="13" t="str">
        <x:v>material_targets</x:v>
      </x:c>
      <x:c r="B17" s="13" t="str">
        <x:v>material_scan</x:v>
      </x:c>
      <x:c r="C17" s="13" t="n">
        <x:v>480</x:v>
      </x:c>
      <x:c r="D17" s="13" t="n">
        <x:v>320</x:v>
      </x:c>
      <x:c r="E17" s="13" t="n">
        <x:v>8</x:v>
      </x:c>
      <x:c r="F17" s="13" t="n">
        <x:v>4</x:v>
      </x:c>
      <x:c r="G17" s="13" t="n">
        <x:v>0.6</x:v>
      </x:c>
      <x:c r="H17" s="13" t="n">
        <x:v>0.38</x:v>
      </x:c>
      <x:c r="I17" s="13" t="n">
        <x:v>94</x:v>
      </x:c>
      <x:c r="J17" s="13" t="str">
        <x:v>ensemble</x:v>
      </x:c>
      <x:c r="K17" s="22" t="b">
        <x:v>1</x:v>
      </x:c>
      <x:c r="L17" s="13" t="n">
        <x:v>4215</x:v>
      </x:c>
      <x:c r="M17" s="13" t="str">
        <x:v>material labels: carrier=0.6, edge=0.38, adapt=94, pol=True</x:v>
      </x:c>
    </x:row>
    <x:row r="18">
      <x:c r="A18" s="13" t="str">
        <x:v>material_targets</x:v>
      </x:c>
      <x:c r="B18" s="13" t="str">
        <x:v>material_scan</x:v>
      </x:c>
      <x:c r="C18" s="13" t="n">
        <x:v>480</x:v>
      </x:c>
      <x:c r="D18" s="13" t="n">
        <x:v>320</x:v>
      </x:c>
      <x:c r="E18" s="13" t="n">
        <x:v>8</x:v>
      </x:c>
      <x:c r="F18" s="13" t="n">
        <x:v>4</x:v>
      </x:c>
      <x:c r="G18" s="13" t="n">
        <x:v>0.6</x:v>
      </x:c>
      <x:c r="H18" s="13" t="n">
        <x:v>0.45</x:v>
      </x:c>
      <x:c r="I18" s="13" t="n">
        <x:v>90</x:v>
      </x:c>
      <x:c r="J18" s="13" t="str">
        <x:v>ensemble</x:v>
      </x:c>
      <x:c r="K18" s="22" t="b">
        <x:v>0</x:v>
      </x:c>
      <x:c r="L18" s="13" t="n">
        <x:v>4216</x:v>
      </x:c>
      <x:c r="M18" s="13" t="str">
        <x:v>material labels: carrier=0.6, edge=0.45, adapt=90, pol=False</x:v>
      </x:c>
    </x:row>
    <x:row r="19">
      <x:c r="A19" s="13" t="str">
        <x:v>material_targets</x:v>
      </x:c>
      <x:c r="B19" s="13" t="str">
        <x:v>material_scan</x:v>
      </x:c>
      <x:c r="C19" s="13" t="n">
        <x:v>480</x:v>
      </x:c>
      <x:c r="D19" s="13" t="n">
        <x:v>320</x:v>
      </x:c>
      <x:c r="E19" s="13" t="n">
        <x:v>8</x:v>
      </x:c>
      <x:c r="F19" s="13" t="n">
        <x:v>4</x:v>
      </x:c>
      <x:c r="G19" s="13" t="n">
        <x:v>0.6</x:v>
      </x:c>
      <x:c r="H19" s="13" t="n">
        <x:v>0.45</x:v>
      </x:c>
      <x:c r="I19" s="13" t="n">
        <x:v>94</x:v>
      </x:c>
      <x:c r="J19" s="13" t="str">
        <x:v>ensemble</x:v>
      </x:c>
      <x:c r="K19" s="22" t="b">
        <x:v>1</x:v>
      </x:c>
      <x:c r="L19" s="13" t="n">
        <x:v>4217</x:v>
      </x:c>
      <x:c r="M19" s="13" t="str">
        <x:v>material labels: carrier=0.6, edge=0.45, adapt=94, pol=True</x:v>
      </x:c>
    </x:row>
    <x:row r="20">
      <x:c r="A20" s="13" t="str">
        <x:v>material_targets</x:v>
      </x:c>
      <x:c r="B20" s="13" t="str">
        <x:v>material_scan</x:v>
      </x:c>
      <x:c r="C20" s="13" t="n">
        <x:v>480</x:v>
      </x:c>
      <x:c r="D20" s="13" t="n">
        <x:v>320</x:v>
      </x:c>
      <x:c r="E20" s="13" t="n">
        <x:v>8</x:v>
      </x:c>
      <x:c r="F20" s="13" t="n">
        <x:v>4</x:v>
      </x:c>
      <x:c r="G20" s="13" t="n">
        <x:v>0.75</x:v>
      </x:c>
      <x:c r="H20" s="13" t="n">
        <x:v>0.3</x:v>
      </x:c>
      <x:c r="I20" s="13" t="n">
        <x:v>90</x:v>
      </x:c>
      <x:c r="J20" s="13" t="str">
        <x:v>ensemble</x:v>
      </x:c>
      <x:c r="K20" s="22" t="b">
        <x:v>0</x:v>
      </x:c>
      <x:c r="L20" s="13" t="n">
        <x:v>4218</x:v>
      </x:c>
      <x:c r="M20" s="13" t="str">
        <x:v>material labels: carrier=0.75, edge=0.3, adapt=90, pol=False</x:v>
      </x:c>
    </x:row>
    <x:row r="21">
      <x:c r="A21" s="13" t="str">
        <x:v>material_targets</x:v>
      </x:c>
      <x:c r="B21" s="13" t="str">
        <x:v>material_scan</x:v>
      </x:c>
      <x:c r="C21" s="13" t="n">
        <x:v>480</x:v>
      </x:c>
      <x:c r="D21" s="13" t="n">
        <x:v>320</x:v>
      </x:c>
      <x:c r="E21" s="13" t="n">
        <x:v>8</x:v>
      </x:c>
      <x:c r="F21" s="13" t="n">
        <x:v>4</x:v>
      </x:c>
      <x:c r="G21" s="13" t="n">
        <x:v>0.75</x:v>
      </x:c>
      <x:c r="H21" s="13" t="n">
        <x:v>0.3</x:v>
      </x:c>
      <x:c r="I21" s="13" t="n">
        <x:v>94</x:v>
      </x:c>
      <x:c r="J21" s="13" t="str">
        <x:v>ensemble</x:v>
      </x:c>
      <x:c r="K21" s="22" t="b">
        <x:v>1</x:v>
      </x:c>
      <x:c r="L21" s="13" t="n">
        <x:v>4219</x:v>
      </x:c>
      <x:c r="M21" s="13" t="str">
        <x:v>material labels: carrier=0.75, edge=0.3, adapt=94, pol=True</x:v>
      </x:c>
    </x:row>
    <x:row r="22">
      <x:c r="A22" s="13" t="str">
        <x:v>material_targets</x:v>
      </x:c>
      <x:c r="B22" s="13" t="str">
        <x:v>material_scan</x:v>
      </x:c>
      <x:c r="C22" s="13" t="n">
        <x:v>480</x:v>
      </x:c>
      <x:c r="D22" s="13" t="n">
        <x:v>320</x:v>
      </x:c>
      <x:c r="E22" s="13" t="n">
        <x:v>8</x:v>
      </x:c>
      <x:c r="F22" s="13" t="n">
        <x:v>4</x:v>
      </x:c>
      <x:c r="G22" s="13" t="n">
        <x:v>0.75</x:v>
      </x:c>
      <x:c r="H22" s="13" t="n">
        <x:v>0.38</x:v>
      </x:c>
      <x:c r="I22" s="13" t="n">
        <x:v>90</x:v>
      </x:c>
      <x:c r="J22" s="13" t="str">
        <x:v>ensemble</x:v>
      </x:c>
      <x:c r="K22" s="22" t="b">
        <x:v>0</x:v>
      </x:c>
      <x:c r="L22" s="13" t="n">
        <x:v>4220</x:v>
      </x:c>
      <x:c r="M22" s="13" t="str">
        <x:v>material labels: carrier=0.75, edge=0.38, adapt=90, pol=False</x:v>
      </x:c>
    </x:row>
    <x:row r="23">
      <x:c r="A23" s="13" t="str">
        <x:v>material_targets</x:v>
      </x:c>
      <x:c r="B23" s="13" t="str">
        <x:v>material_scan</x:v>
      </x:c>
      <x:c r="C23" s="13" t="n">
        <x:v>480</x:v>
      </x:c>
      <x:c r="D23" s="13" t="n">
        <x:v>320</x:v>
      </x:c>
      <x:c r="E23" s="13" t="n">
        <x:v>8</x:v>
      </x:c>
      <x:c r="F23" s="13" t="n">
        <x:v>4</x:v>
      </x:c>
      <x:c r="G23" s="13" t="n">
        <x:v>0.75</x:v>
      </x:c>
      <x:c r="H23" s="13" t="n">
        <x:v>0.38</x:v>
      </x:c>
      <x:c r="I23" s="13" t="n">
        <x:v>94</x:v>
      </x:c>
      <x:c r="J23" s="13" t="str">
        <x:v>ensemble</x:v>
      </x:c>
      <x:c r="K23" s="22" t="b">
        <x:v>1</x:v>
      </x:c>
      <x:c r="L23" s="13" t="n">
        <x:v>4221</x:v>
      </x:c>
      <x:c r="M23" s="13" t="str">
        <x:v>material labels: carrier=0.75, edge=0.38, adapt=94, pol=True</x:v>
      </x:c>
    </x:row>
    <x:row r="24">
      <x:c r="A24" s="13" t="str">
        <x:v>material_targets</x:v>
      </x:c>
      <x:c r="B24" s="13" t="str">
        <x:v>material_scan</x:v>
      </x:c>
      <x:c r="C24" s="13" t="n">
        <x:v>480</x:v>
      </x:c>
      <x:c r="D24" s="13" t="n">
        <x:v>320</x:v>
      </x:c>
      <x:c r="E24" s="13" t="n">
        <x:v>8</x:v>
      </x:c>
      <x:c r="F24" s="13" t="n">
        <x:v>4</x:v>
      </x:c>
      <x:c r="G24" s="13" t="n">
        <x:v>0.75</x:v>
      </x:c>
      <x:c r="H24" s="13" t="n">
        <x:v>0.45</x:v>
      </x:c>
      <x:c r="I24" s="13" t="n">
        <x:v>90</x:v>
      </x:c>
      <x:c r="J24" s="13" t="str">
        <x:v>ensemble</x:v>
      </x:c>
      <x:c r="K24" s="22" t="b">
        <x:v>0</x:v>
      </x:c>
      <x:c r="L24" s="13" t="n">
        <x:v>4222</x:v>
      </x:c>
      <x:c r="M24" s="13" t="str">
        <x:v>material labels: carrier=0.75, edge=0.45, adapt=90, pol=False</x:v>
      </x:c>
    </x:row>
    <x:row r="25">
      <x:c r="A25" s="13" t="str">
        <x:v>material_targets</x:v>
      </x:c>
      <x:c r="B25" s="13" t="str">
        <x:v>material_scan</x:v>
      </x:c>
      <x:c r="C25" s="13" t="n">
        <x:v>480</x:v>
      </x:c>
      <x:c r="D25" s="13" t="n">
        <x:v>320</x:v>
      </x:c>
      <x:c r="E25" s="13" t="n">
        <x:v>8</x:v>
      </x:c>
      <x:c r="F25" s="13" t="n">
        <x:v>4</x:v>
      </x:c>
      <x:c r="G25" s="13" t="n">
        <x:v>0.75</x:v>
      </x:c>
      <x:c r="H25" s="13" t="n">
        <x:v>0.45</x:v>
      </x:c>
      <x:c r="I25" s="13" t="n">
        <x:v>94</x:v>
      </x:c>
      <x:c r="J25" s="13" t="str">
        <x:v>ensemble</x:v>
      </x:c>
      <x:c r="K25" s="22" t="b">
        <x:v>1</x:v>
      </x:c>
      <x:c r="L25" s="13" t="n">
        <x:v>4223</x:v>
      </x:c>
      <x:c r="M25" s="13" t="str">
        <x:v>material labels: carrier=0.75, edge=0.45, adapt=94, pol=True</x:v>
      </x:c>
    </x:row>
    <x:row r="26">
      <x:c r="A26" s="13" t="str">
        <x:v>material_targets</x:v>
      </x:c>
      <x:c r="B26" s="13" t="str">
        <x:v>material_scan</x:v>
      </x:c>
      <x:c r="C26" s="13" t="n">
        <x:v>640</x:v>
      </x:c>
      <x:c r="D26" s="13" t="n">
        <x:v>480</x:v>
      </x:c>
      <x:c r="E26" s="13" t="n">
        <x:v>8</x:v>
      </x:c>
      <x:c r="F26" s="13" t="n">
        <x:v>6</x:v>
      </x:c>
      <x:c r="G26" s="13" t="n">
        <x:v>0.45</x:v>
      </x:c>
      <x:c r="H26" s="13" t="n">
        <x:v>0.38</x:v>
      </x:c>
      <x:c r="I26" s="13" t="n">
        <x:v>94</x:v>
      </x:c>
      <x:c r="J26" s="13" t="str">
        <x:v>ensemble</x:v>
      </x:c>
      <x:c r="K26" s="22" t="b">
        <x:v>1</x:v>
      </x:c>
      <x:c r="L26" s="13" t="n">
        <x:v>4224</x:v>
      </x:c>
      <x:c r="M26" s="13" t="str">
        <x:v>higher-confidence material scan; stack=6; pol=True</x:v>
      </x:c>
    </x:row>
    <x:row r="27">
      <x:c r="A27" s="13" t="str">
        <x:v>material_targets</x:v>
      </x:c>
      <x:c r="B27" s="13" t="str">
        <x:v>material_scan</x:v>
      </x:c>
      <x:c r="C27" s="13" t="n">
        <x:v>640</x:v>
      </x:c>
      <x:c r="D27" s="13" t="n">
        <x:v>480</x:v>
      </x:c>
      <x:c r="E27" s="13" t="n">
        <x:v>8</x:v>
      </x:c>
      <x:c r="F27" s="13" t="n">
        <x:v>6</x:v>
      </x:c>
      <x:c r="G27" s="13" t="n">
        <x:v>0.6</x:v>
      </x:c>
      <x:c r="H27" s="13" t="n">
        <x:v>0.38</x:v>
      </x:c>
      <x:c r="I27" s="13" t="n">
        <x:v>94</x:v>
      </x:c>
      <x:c r="J27" s="13" t="str">
        <x:v>ensemble</x:v>
      </x:c>
      <x:c r="K27" s="22" t="b">
        <x:v>1</x:v>
      </x:c>
      <x:c r="L27" s="13" t="n">
        <x:v>4225</x:v>
      </x:c>
      <x:c r="M27" s="13" t="str">
        <x:v>higher-confidence material scan; stack=6; pol=True</x:v>
      </x:c>
    </x:row>
    <x:row r="28">
      <x:c r="A28" s="13" t="str">
        <x:v>material_targets</x:v>
      </x:c>
      <x:c r="B28" s="13" t="str">
        <x:v>material_scan</x:v>
      </x:c>
      <x:c r="C28" s="13" t="n">
        <x:v>640</x:v>
      </x:c>
      <x:c r="D28" s="13" t="n">
        <x:v>480</x:v>
      </x:c>
      <x:c r="E28" s="13" t="n">
        <x:v>8</x:v>
      </x:c>
      <x:c r="F28" s="13" t="n">
        <x:v>6</x:v>
      </x:c>
      <x:c r="G28" s="13" t="n">
        <x:v>0.45</x:v>
      </x:c>
      <x:c r="H28" s="13" t="n">
        <x:v>0.45</x:v>
      </x:c>
      <x:c r="I28" s="13" t="n">
        <x:v>96</x:v>
      </x:c>
      <x:c r="J28" s="13" t="str">
        <x:v>ensemble</x:v>
      </x:c>
      <x:c r="K28" s="22" t="b">
        <x:v>1</x:v>
      </x:c>
      <x:c r="L28" s="13" t="n">
        <x:v>4226</x:v>
      </x:c>
      <x:c r="M28" s="13" t="str">
        <x:v>higher-confidence material scan; stack=6; pol=True</x:v>
      </x:c>
    </x:row>
    <x:row r="29">
      <x:c r="A29" s="13" t="str">
        <x:v>material_targets</x:v>
      </x:c>
      <x:c r="B29" s="13" t="str">
        <x:v>material_scan</x:v>
      </x:c>
      <x:c r="C29" s="13" t="n">
        <x:v>640</x:v>
      </x:c>
      <x:c r="D29" s="13" t="n">
        <x:v>480</x:v>
      </x:c>
      <x:c r="E29" s="13" t="n">
        <x:v>8</x:v>
      </x:c>
      <x:c r="F29" s="13" t="n">
        <x:v>6</x:v>
      </x:c>
      <x:c r="G29" s="13" t="n">
        <x:v>0.6</x:v>
      </x:c>
      <x:c r="H29" s="13" t="n">
        <x:v>0.45</x:v>
      </x:c>
      <x:c r="I29" s="13" t="n">
        <x:v>96</x:v>
      </x:c>
      <x:c r="J29" s="13" t="str">
        <x:v>ensemble</x:v>
      </x:c>
      <x:c r="K29" s="22" t="b">
        <x:v>1</x:v>
      </x:c>
      <x:c r="L29" s="13" t="n">
        <x:v>4227</x:v>
      </x:c>
      <x:c r="M29" s="13" t="str">
        <x:v>higher-confidence material scan; stack=6; pol=True</x:v>
      </x:c>
    </x:row>
    <x:row r="30">
      <x:c r="A30" s="13" t="str">
        <x:v>material_targets</x:v>
      </x:c>
      <x:c r="B30" s="13" t="str">
        <x:v>material_scan</x:v>
      </x:c>
      <x:c r="C30" s="13" t="n">
        <x:v>480</x:v>
      </x:c>
      <x:c r="D30" s="13" t="n">
        <x:v>320</x:v>
      </x:c>
      <x:c r="E30" s="13" t="n">
        <x:v>8</x:v>
      </x:c>
      <x:c r="F30" s="13" t="n">
        <x:v>8</x:v>
      </x:c>
      <x:c r="G30" s="13" t="n">
        <x:v>0.45</x:v>
      </x:c>
      <x:c r="H30" s="13" t="n">
        <x:v>0.38</x:v>
      </x:c>
      <x:c r="I30" s="13" t="n">
        <x:v>94</x:v>
      </x:c>
      <x:c r="J30" s="13" t="str">
        <x:v>ensemble</x:v>
      </x:c>
      <x:c r="K30" s="22" t="b">
        <x:v>1</x:v>
      </x:c>
      <x:c r="L30" s="13" t="n">
        <x:v>4228</x:v>
      </x:c>
      <x:c r="M30" s="13" t="str">
        <x:v>higher-confidence material scan; stack=8; pol=True</x:v>
      </x:c>
    </x:row>
    <x:row r="31">
      <x:c r="A31" s="13" t="str">
        <x:v>material_targets</x:v>
      </x:c>
      <x:c r="B31" s="13" t="str">
        <x:v>material_scan</x:v>
      </x:c>
      <x:c r="C31" s="13" t="n">
        <x:v>480</x:v>
      </x:c>
      <x:c r="D31" s="13" t="n">
        <x:v>320</x:v>
      </x:c>
      <x:c r="E31" s="13" t="n">
        <x:v>8</x:v>
      </x:c>
      <x:c r="F31" s="13" t="n">
        <x:v>8</x:v>
      </x:c>
      <x:c r="G31" s="13" t="n">
        <x:v>0.6</x:v>
      </x:c>
      <x:c r="H31" s="13" t="n">
        <x:v>0.38</x:v>
      </x:c>
      <x:c r="I31" s="13" t="n">
        <x:v>94</x:v>
      </x:c>
      <x:c r="J31" s="13" t="str">
        <x:v>ensemble</x:v>
      </x:c>
      <x:c r="K31" s="22" t="b">
        <x:v>1</x:v>
      </x:c>
      <x:c r="L31" s="13" t="n">
        <x:v>4229</x:v>
      </x:c>
      <x:c r="M31" s="13" t="str">
        <x:v>higher-confidence material scan; stack=8; pol=True</x:v>
      </x:c>
    </x:row>
    <x:row r="32">
      <x:c r="A32" s="13" t="str">
        <x:v>material_targets</x:v>
      </x:c>
      <x:c r="B32" s="13" t="str">
        <x:v>full_diagnostic</x:v>
      </x:c>
      <x:c r="C32" s="13" t="n">
        <x:v>480</x:v>
      </x:c>
      <x:c r="D32" s="13" t="n">
        <x:v>320</x:v>
      </x:c>
      <x:c r="E32" s="13" t="n">
        <x:v>8</x:v>
      </x:c>
      <x:c r="F32" s="13" t="n">
        <x:v>4</x:v>
      </x:c>
      <x:c r="G32" s="13" t="n">
        <x:v>0.45</x:v>
      </x:c>
      <x:c r="H32" s="13" t="n">
        <x:v>0.38</x:v>
      </x:c>
      <x:c r="I32" s="13" t="n">
        <x:v>94</x:v>
      </x:c>
      <x:c r="J32" s="13" t="str">
        <x:v>ensemble</x:v>
      </x:c>
      <x:c r="K32" s="22" t="b">
        <x:v>1</x:v>
      </x:c>
      <x:c r="L32" s="13" t="n">
        <x:v>4230</x:v>
      </x:c>
      <x:c r="M32" s="13" t="str">
        <x:v>full diagnostic material regression; inspect raw channels and labels</x:v>
      </x:c>
    </x:row>
    <x:row r="33">
      <x:c r="A33" s="13" t="str">
        <x:v>material_targets</x:v>
      </x:c>
      <x:c r="B33" s="13" t="str">
        <x:v>full_diagnostic</x:v>
      </x:c>
      <x:c r="C33" s="13" t="n">
        <x:v>480</x:v>
      </x:c>
      <x:c r="D33" s="13" t="n">
        <x:v>320</x:v>
      </x:c>
      <x:c r="E33" s="13" t="n">
        <x:v>8</x:v>
      </x:c>
      <x:c r="F33" s="13" t="n">
        <x:v>4</x:v>
      </x:c>
      <x:c r="G33" s="13" t="n">
        <x:v>0.6</x:v>
      </x:c>
      <x:c r="H33" s="13" t="n">
        <x:v>0.38</x:v>
      </x:c>
      <x:c r="I33" s="13" t="n">
        <x:v>94</x:v>
      </x:c>
      <x:c r="J33" s="13" t="str">
        <x:v>ensemble</x:v>
      </x:c>
      <x:c r="K33" s="22" t="b">
        <x:v>1</x:v>
      </x:c>
      <x:c r="L33" s="13" t="n">
        <x:v>4231</x:v>
      </x:c>
      <x:c r="M33" s="13" t="str">
        <x:v>full diagnostic material regression; inspect raw channels and labels</x:v>
      </x:c>
    </x:row>
    <x:row r="34">
      <x:c r="A34" s="13" t="str">
        <x:v>material_targets</x:v>
      </x:c>
      <x:c r="B34" s="13" t="str">
        <x:v>full_diagnostic</x:v>
      </x:c>
      <x:c r="C34" s="13" t="n">
        <x:v>480</x:v>
      </x:c>
      <x:c r="D34" s="13" t="n">
        <x:v>320</x:v>
      </x:c>
      <x:c r="E34" s="13" t="n">
        <x:v>8</x:v>
      </x:c>
      <x:c r="F34" s="13" t="n">
        <x:v>4</x:v>
      </x:c>
      <x:c r="G34" s="13" t="n">
        <x:v>0.45</x:v>
      </x:c>
      <x:c r="H34" s="13" t="n">
        <x:v>0.45</x:v>
      </x:c>
      <x:c r="I34" s="13" t="n">
        <x:v>96</x:v>
      </x:c>
      <x:c r="J34" s="13" t="str">
        <x:v>ensemble</x:v>
      </x:c>
      <x:c r="K34" s="22" t="b">
        <x:v>1</x:v>
      </x:c>
      <x:c r="L34" s="13" t="n">
        <x:v>4232</x:v>
      </x:c>
      <x:c r="M34" s="13" t="str">
        <x:v>full diagnostic material regression; inspect raw channels and labels</x:v>
      </x:c>
    </x:row>
    <x:row r="35">
      <x:c r="A35" s="13" t="str">
        <x:v>material_targets</x:v>
      </x:c>
      <x:c r="B35" s="13" t="str">
        <x:v>full_diagnostic</x:v>
      </x:c>
      <x:c r="C35" s="13" t="n">
        <x:v>480</x:v>
      </x:c>
      <x:c r="D35" s="13" t="n">
        <x:v>320</x:v>
      </x:c>
      <x:c r="E35" s="13" t="n">
        <x:v>8</x:v>
      </x:c>
      <x:c r="F35" s="13" t="n">
        <x:v>4</x:v>
      </x:c>
      <x:c r="G35" s="13" t="n">
        <x:v>0.6</x:v>
      </x:c>
      <x:c r="H35" s="13" t="n">
        <x:v>0.45</x:v>
      </x:c>
      <x:c r="I35" s="13" t="n">
        <x:v>96</x:v>
      </x:c>
      <x:c r="J35" s="13" t="str">
        <x:v>ensemble</x:v>
      </x:c>
      <x:c r="K35" s="22" t="b">
        <x:v>1</x:v>
      </x:c>
      <x:c r="L35" s="13" t="n">
        <x:v>4233</x:v>
      </x:c>
      <x:c r="M35" s="13" t="str">
        <x:v>full diagnostic material regression; inspect raw channels and labels</x:v>
      </x:c>
    </x:row>
    <x:row r="36">
      <x:c r="A36" s="13" t="str">
        <x:v>mini_saloon</x:v>
      </x:c>
      <x:c r="B36" s="13" t="str">
        <x:v>indoor_structure</x:v>
      </x:c>
      <x:c r="C36" s="13" t="n">
        <x:v>480</x:v>
      </x:c>
      <x:c r="D36" s="13" t="n">
        <x:v>320</x:v>
      </x:c>
      <x:c r="E36" s="13" t="n">
        <x:v>8</x:v>
      </x:c>
      <x:c r="F36" s="13" t="n">
        <x:v>4</x:v>
      </x:c>
      <x:c r="G36" s="13" t="n">
        <x:v>0.45</x:v>
      </x:c>
      <x:c r="H36" s="13" t="n">
        <x:v>0.38</x:v>
      </x:c>
      <x:c r="I36" s="13" t="n">
        <x:v>94</x:v>
      </x:c>
      <x:c r="J36" s="13" t="str">
        <x:v>ensemble</x:v>
      </x:c>
      <x:c r="K36" s="22" t="b">
        <x:v>0</x:v>
      </x:c>
      <x:c r="L36" s="13" t="n">
        <x:v>4234</x:v>
      </x:c>
      <x:c r="M36" s="13" t="str">
        <x:v>indoor regression: known-good anti light/sound setting</x:v>
      </x:c>
    </x:row>
    <x:row r="37">
      <x:c r="A37" s="13" t="str">
        <x:v>mini_saloon</x:v>
      </x:c>
      <x:c r="B37" s="13" t="str">
        <x:v>full_diagnostic</x:v>
      </x:c>
      <x:c r="C37" s="13" t="n">
        <x:v>480</x:v>
      </x:c>
      <x:c r="D37" s="13" t="n">
        <x:v>320</x:v>
      </x:c>
      <x:c r="E37" s="13" t="n">
        <x:v>8</x:v>
      </x:c>
      <x:c r="F37" s="13" t="n">
        <x:v>4</x:v>
      </x:c>
      <x:c r="G37" s="13" t="n">
        <x:v>0.45</x:v>
      </x:c>
      <x:c r="H37" s="13" t="n">
        <x:v>0.38</x:v>
      </x:c>
      <x:c r="I37" s="13" t="n">
        <x:v>94</x:v>
      </x:c>
      <x:c r="J37" s="13" t="str">
        <x:v>ensemble</x:v>
      </x:c>
      <x:c r="K37" s="22" t="b">
        <x:v>0</x:v>
      </x:c>
      <x:c r="L37" s="13" t="n">
        <x:v>4235</x:v>
      </x:c>
      <x:c r="M37" s="13" t="str">
        <x:v>full diagnostic saloon regression</x:v>
      </x:c>
    </x:row>
    <x:row r="38">
      <x:c r="A38" s="13" t="str">
        <x:v>mini_saloon</x:v>
      </x:c>
      <x:c r="B38" s="13" t="str">
        <x:v>indoor_structure</x:v>
      </x:c>
      <x:c r="C38" s="13" t="n">
        <x:v>480</x:v>
      </x:c>
      <x:c r="D38" s="13" t="n">
        <x:v>320</x:v>
      </x:c>
      <x:c r="E38" s="13" t="n">
        <x:v>8</x:v>
      </x:c>
      <x:c r="F38" s="13" t="n">
        <x:v>4</x:v>
      </x:c>
      <x:c r="G38" s="13" t="n">
        <x:v>0.6</x:v>
      </x:c>
      <x:c r="H38" s="13" t="n">
        <x:v>0.38</x:v>
      </x:c>
      <x:c r="I38" s="13" t="n">
        <x:v>94</x:v>
      </x:c>
      <x:c r="J38" s="13" t="str">
        <x:v>ensemble</x:v>
      </x:c>
      <x:c r="K38" s="22" t="b">
        <x:v>0</x:v>
      </x:c>
      <x:c r="L38" s="13" t="n">
        <x:v>4236</x:v>
      </x:c>
      <x:c r="M38" s="13" t="str">
        <x:v>indoor regression: known-good anti light/sound setting</x:v>
      </x:c>
    </x:row>
    <x:row r="39">
      <x:c r="A39" s="13" t="str">
        <x:v>mini_saloon</x:v>
      </x:c>
      <x:c r="B39" s="13" t="str">
        <x:v>full_diagnostic</x:v>
      </x:c>
      <x:c r="C39" s="13" t="n">
        <x:v>480</x:v>
      </x:c>
      <x:c r="D39" s="13" t="n">
        <x:v>320</x:v>
      </x:c>
      <x:c r="E39" s="13" t="n">
        <x:v>8</x:v>
      </x:c>
      <x:c r="F39" s="13" t="n">
        <x:v>4</x:v>
      </x:c>
      <x:c r="G39" s="13" t="n">
        <x:v>0.6</x:v>
      </x:c>
      <x:c r="H39" s="13" t="n">
        <x:v>0.38</x:v>
      </x:c>
      <x:c r="I39" s="13" t="n">
        <x:v>94</x:v>
      </x:c>
      <x:c r="J39" s="13" t="str">
        <x:v>ensemble</x:v>
      </x:c>
      <x:c r="K39" s="22" t="b">
        <x:v>0</x:v>
      </x:c>
      <x:c r="L39" s="13" t="n">
        <x:v>4237</x:v>
      </x:c>
      <x:c r="M39" s="13" t="str">
        <x:v>full diagnostic saloon regression</x:v>
      </x:c>
    </x:row>
    <x:row r="40">
      <x:c r="A40" s="13" t="str">
        <x:v>occluder_gate</x:v>
      </x:c>
      <x:c r="B40" s="13" t="str">
        <x:v>outdoor_occlusion</x:v>
      </x:c>
      <x:c r="C40" s="13" t="n">
        <x:v>480</x:v>
      </x:c>
      <x:c r="D40" s="13" t="n">
        <x:v>320</x:v>
      </x:c>
      <x:c r="E40" s="13" t="n">
        <x:v>8</x:v>
      </x:c>
      <x:c r="F40" s="13" t="n">
        <x:v>4</x:v>
      </x:c>
      <x:c r="G40" s="13" t="n">
        <x:v>0.45</x:v>
      </x:c>
      <x:c r="H40" s="13" t="n">
        <x:v>0.3</x:v>
      </x:c>
      <x:c r="I40" s="13" t="n">
        <x:v>90</x:v>
      </x:c>
      <x:c r="J40" s="13" t="str">
        <x:v>ensemble</x:v>
      </x:c>
      <x:c r="K40" s="22" t="b">
        <x:v>0</x:v>
      </x:c>
      <x:c r="L40" s="13" t="n">
        <x:v>4238</x:v>
      </x:c>
      <x:c r="M40" s="13" t="str">
        <x:v>occlusion regression: track partial_occluder_frac vs geom_edge_frac</x:v>
      </x:c>
    </x:row>
    <x:row r="41">
      <x:c r="A41" s="13" t="str">
        <x:v>occluder_gate</x:v>
      </x:c>
      <x:c r="B41" s="13" t="str">
        <x:v>outdoor_occlusion</x:v>
      </x:c>
      <x:c r="C41" s="13" t="n">
        <x:v>480</x:v>
      </x:c>
      <x:c r="D41" s="13" t="n">
        <x:v>320</x:v>
      </x:c>
      <x:c r="E41" s="13" t="n">
        <x:v>8</x:v>
      </x:c>
      <x:c r="F41" s="13" t="n">
        <x:v>4</x:v>
      </x:c>
      <x:c r="G41" s="13" t="n">
        <x:v>0.45</x:v>
      </x:c>
      <x:c r="H41" s="13" t="n">
        <x:v>0.34</x:v>
      </x:c>
      <x:c r="I41" s="13" t="n">
        <x:v>92</x:v>
      </x:c>
      <x:c r="J41" s="13" t="str">
        <x:v>ensemble</x:v>
      </x:c>
      <x:c r="K41" s="22" t="b">
        <x:v>0</x:v>
      </x:c>
      <x:c r="L41" s="13" t="n">
        <x:v>4239</x:v>
      </x:c>
      <x:c r="M41" s="13" t="str">
        <x:v>occlusion regression: track partial_occluder_frac vs geom_edge_frac</x:v>
      </x:c>
    </x:row>
    <x:row r="42">
      <x:c r="A42" s="13" t="str">
        <x:v>occluder_gate</x:v>
      </x:c>
      <x:c r="B42" s="13" t="str">
        <x:v>outdoor_occlusion</x:v>
      </x:c>
      <x:c r="C42" s="13" t="n">
        <x:v>480</x:v>
      </x:c>
      <x:c r="D42" s="13" t="n">
        <x:v>320</x:v>
      </x:c>
      <x:c r="E42" s="13" t="n">
        <x:v>8</x:v>
      </x:c>
      <x:c r="F42" s="13" t="n">
        <x:v>4</x:v>
      </x:c>
      <x:c r="G42" s="13" t="n">
        <x:v>0.6</x:v>
      </x:c>
      <x:c r="H42" s="13" t="n">
        <x:v>0.3</x:v>
      </x:c>
      <x:c r="I42" s="13" t="n">
        <x:v>90</x:v>
      </x:c>
      <x:c r="J42" s="13" t="str">
        <x:v>ensemble</x:v>
      </x:c>
      <x:c r="K42" s="22" t="b">
        <x:v>0</x:v>
      </x:c>
      <x:c r="L42" s="13" t="n">
        <x:v>4240</x:v>
      </x:c>
      <x:c r="M42" s="13" t="str">
        <x:v>occlusion regression: track partial_occluder_frac vs geom_edge_frac</x:v>
      </x:c>
    </x:row>
    <x:row r="43">
      <x:c r="A43" s="13" t="str">
        <x:v>occluder_gate</x:v>
      </x:c>
      <x:c r="B43" s="13" t="str">
        <x:v>outdoor_occlusion</x:v>
      </x:c>
      <x:c r="C43" s="13" t="n">
        <x:v>480</x:v>
      </x:c>
      <x:c r="D43" s="13" t="n">
        <x:v>320</x:v>
      </x:c>
      <x:c r="E43" s="13" t="n">
        <x:v>8</x:v>
      </x:c>
      <x:c r="F43" s="13" t="n">
        <x:v>4</x:v>
      </x:c>
      <x:c r="G43" s="13" t="n">
        <x:v>0.6</x:v>
      </x:c>
      <x:c r="H43" s="13" t="n">
        <x:v>0.34</x:v>
      </x:c>
      <x:c r="I43" s="13" t="n">
        <x:v>92</x:v>
      </x:c>
      <x:c r="J43" s="13" t="str">
        <x:v>ensemble</x:v>
      </x:c>
      <x:c r="K43" s="22" t="b">
        <x:v>0</x:v>
      </x:c>
      <x:c r="L43" s="13" t="n">
        <x:v>4241</x:v>
      </x:c>
      <x:c r="M43" s="13" t="str">
        <x:v>occlusion regression: track partial_occluder_frac vs geom_edge_frac</x:v>
      </x:c>
    </x:row>
    <x:row r="44">
      <x:c r="A44" s="13" t="str">
        <x:v>cabin_demo</x:v>
      </x:c>
      <x:c r="B44" s="13" t="str">
        <x:v>full_diagnostic</x:v>
      </x:c>
      <x:c r="C44" s="13" t="n">
        <x:v>480</x:v>
      </x:c>
      <x:c r="D44" s="13" t="n">
        <x:v>320</x:v>
      </x:c>
      <x:c r="E44" s="13" t="n">
        <x:v>8</x:v>
      </x:c>
      <x:c r="F44" s="13" t="n">
        <x:v>4</x:v>
      </x:c>
      <x:c r="G44" s="13" t="n">
        <x:v>0.45</x:v>
      </x:c>
      <x:c r="H44" s="13" t="n">
        <x:v>0.38</x:v>
      </x:c>
      <x:c r="I44" s="13" t="n">
        <x:v>94</x:v>
      </x:c>
      <x:c r="J44" s="13" t="str">
        <x:v>ensemble</x:v>
      </x:c>
      <x:c r="K44" s="22" t="b">
        <x:v>1</x:v>
      </x:c>
      <x:c r="L44" s="13" t="n">
        <x:v>4242</x:v>
      </x:c>
      <x:c r="M44" s="13" t="str">
        <x:v>cabin regression with polarization on</x:v>
      </x:c>
    </x:row>
    <x:row r="45">
      <x:c r="A45" s="13" t="str">
        <x:v>cabin_demo</x:v>
      </x:c>
      <x:c r="B45" s="13" t="str">
        <x:v>full_diagnostic</x:v>
      </x:c>
      <x:c r="C45" s="13" t="n">
        <x:v>480</x:v>
      </x:c>
      <x:c r="D45" s="13" t="n">
        <x:v>320</x:v>
      </x:c>
      <x:c r="E45" s="13" t="n">
        <x:v>8</x:v>
      </x:c>
      <x:c r="F45" s="13" t="n">
        <x:v>4</x:v>
      </x:c>
      <x:c r="G45" s="13" t="n">
        <x:v>0.6</x:v>
      </x:c>
      <x:c r="H45" s="13" t="n">
        <x:v>0.38</x:v>
      </x:c>
      <x:c r="I45" s="13" t="n">
        <x:v>94</x:v>
      </x:c>
      <x:c r="J45" s="13" t="str">
        <x:v>ensemble</x:v>
      </x:c>
      <x:c r="K45" s="22" t="b">
        <x:v>1</x:v>
      </x:c>
      <x:c r="L45" s="13" t="n">
        <x:v>4243</x:v>
      </x:c>
      <x:c r="M45" s="13" t="str">
        <x:v>cabin regression with polarization on</x:v>
      </x:c>
    </x:row>
  </x:sheetData>
  <x:conditionalFormatting sqref="A2:A45">
    <x:cfRule type="expression" dxfId="0" priority="1">
      <x:formula>A2="material_targets"</x:formula>
    </x:cfRule>
  </x:conditionalFormatting>
  <x:conditionalFormatting sqref="F2:F45">
    <x:cfRule type="dataBar" priority="2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{91339EC0-BA51-143C-A4AC-15FD2CB963EA}</x14:id>
        </x:ext>
      </x:extLst>
    </x:cfRule>
  </x:conditionalFormatting>
  <x:conditionalFormatting sqref="G2:G45">
    <x:cfRule type="colorScale" priority="3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conditionalFormatting sqref="H2:H45">
    <x:cfRule type="colorScale" priority="4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dataValidations count="4">
    <x:dataValidation type="list" sqref="A2:A45">
      <x:formula1>"material_targets,mini_saloon,occluder_gate,cabin_demo"</x:formula1>
    </x:dataValidation>
    <x:dataValidation type="list" sqref="B2:B45">
      <x:formula1>"material_scan,full_diagnostic,indoor_structure,outdoor_occlusion"</x:formula1>
    </x:dataValidation>
    <x:dataValidation type="list" sqref="J2:J45">
      <x:formula1>"ensemble,x"</x:formula1>
    </x:dataValidation>
    <x:dataValidation type="list" sqref="K2:K4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3bbaf65f944a4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1339EC0-BA51-143C-A4AC-15FD2CB963EA}">
            <x14:dataBar gradient="1">
              <x14:cfvo type="min"/>
              <x14:cfvo type="max"/>
              <x14:fillColor rgb="5B9BD5"/>
            </x14:dataBar>
          </x14:cfRule>
          <xm:sqref>F2:F45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6" hidden="0" customWidth="1"/>
  </x:cols>
  <x:sheetData>
    <x:row r="1">
      <x:c r="A1" s="18" t="str">
        <x:v>Metric</x:v>
      </x:c>
      <x:c r="B1" s="18" t="str">
        <x:v>Target / interpretation</x:v>
      </x:c>
      <x:c r="C1" s="18" t="str">
        <x:v>Why it matters</x:v>
      </x:c>
    </x:row>
    <x:row r="2">
      <x:c r="A2" s="13" t="str">
        <x:v>coverage</x:v>
      </x:c>
      <x:c r="B2" s="13" t="str">
        <x:v>&gt;= 0.45 for wave presets; higher is better</x:v>
      </x:c>
      <x:c r="C2" s="13" t="str">
        <x:v>Bad framing creates weak/noisy channels.</x:v>
      </x:c>
    </x:row>
    <x:row r="3">
      <x:c r="A3" s="13" t="str">
        <x:v>depth_span_p05_p95</x:v>
      </x:c>
      <x:c r="B3" s="13" t="str">
        <x:v>&gt;= 3m; ideally 6m+ for interiors/occlusion</x:v>
      </x:c>
      <x:c r="C3" s="13" t="str">
        <x:v>Wave anti channels need depth variation.</x:v>
      </x:c>
    </x:row>
    <x:row r="4">
      <x:c r="A4" s="13" t="str">
        <x:v>light_anti_p95</x:v>
      </x:c>
      <x:c r="B4" s="13" t="str">
        <x:v>Healthy signal but not all saturated</x:v>
      </x:c>
      <x:c r="C4" s="13" t="str">
        <x:v>Indoor structure should show strong anti-light response.</x:v>
      </x:c>
    </x:row>
    <x:row r="5">
      <x:c r="A5" s="13" t="str">
        <x:v>sound_anti_p95</x:v>
      </x:c>
      <x:c r="B5" s="13" t="str">
        <x:v>Tracks light_anti but with material weighting</x:v>
      </x:c>
      <x:c r="C5" s="13" t="str">
        <x:v>Indoor and material boundaries often show here.</x:v>
      </x:c>
    </x:row>
    <x:row r="6">
      <x:c r="A6" s="13" t="str">
        <x:v>geom_edge_frac</x:v>
      </x:c>
      <x:c r="B6" s="13" t="str">
        <x:v>Indoor: ~5–10%; material board: lower is OK</x:v>
      </x:c>
      <x:c r="C6" s="13" t="str">
        <x:v>Too high means classifier is edge-happy.</x:v>
      </x:c>
    </x:row>
    <x:row r="7">
      <x:c r="A7" s="13" t="str">
        <x:v>partial_occluder_frac</x:v>
      </x:c>
      <x:c r="B7" s="13" t="str">
        <x:v>Occluder scene should be nonzero and stable</x:v>
      </x:c>
      <x:c r="C7" s="13" t="str">
        <x:v>Validates transparency/depth-variance logic.</x:v>
      </x:c>
    </x:row>
    <x:row r="8">
      <x:c r="A8" s="13" t="str">
        <x:v>soft_material_frac</x:v>
      </x:c>
      <x:c r="B8" s="13" t="str">
        <x:v>Material board should eventually be nonzero</x:v>
      </x:c>
      <x:c r="C8" s="13" t="str">
        <x:v>Currently the weak spot; target for future threshold patch.</x:v>
      </x:c>
    </x:row>
    <x:row r="9">
      <x:c r="A9" s="13" t="str">
        <x:v>hard_smooth_frac</x:v>
      </x:c>
      <x:c r="B9" s="13" t="str">
        <x:v>Should not swallow every material target</x:v>
      </x:c>
      <x:c r="C9" s="13" t="str">
        <x:v>If too high, material classifier is over-conservative.</x:v>
      </x:c>
    </x:row>
  </x:sheetData>
  <x:pageMargins left="0.7" right="0.7" top="0.75" bottom="0.75" header="0.3" footer="0.3"/>
  <x:tableParts count="1">
    <x:tablePart xmlns:r="http://schemas.openxmlformats.org/officeDocument/2006/relationships" r:id="Rfe98c0416ef945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6" hidden="0" customWidth="1"/>
    <x:col min="4" max="4" width="62" hidden="0" customWidth="1"/>
  </x:cols>
  <x:sheetData>
    <x:row r="1">
      <x:c r="A1" s="18" t="str">
        <x:v>Field to tune later</x:v>
      </x:c>
      <x:c r="B1" s="18" t="str">
        <x:v>Current likely behavior</x:v>
      </x:c>
      <x:c r="C1" s="18" t="str">
        <x:v>Candidate values</x:v>
      </x:c>
      <x:c r="D1" s="18" t="str">
        <x:v>Notes</x:v>
      </x:c>
    </x:row>
    <x:row r="2">
      <x:c r="A2" s="13" t="str">
        <x:v>soft_material_texture_min</x:v>
      </x:c>
      <x:c r="B2" s="13" t="str">
        <x:v>Too strict; soft_material_frac often 0</x:v>
      </x:c>
      <x:c r="C2" s="13" t="str">
        <x:v>0.52, 0.56, 0.60</x:v>
      </x:c>
      <x:c r="D2" s="13" t="str">
        <x:v>Lower cautiously so wood/logs do not become soft.</x:v>
      </x:c>
    </x:row>
    <x:row r="3">
      <x:c r="A3" s="13" t="str">
        <x:v>soft_material_intensity_min</x:v>
      </x:c>
      <x:c r="B3" s="13" t="str">
        <x:v>May filter out weak fabric/skin returns</x:v>
      </x:c>
      <x:c r="C3" s="13" t="str">
        <x:v>0.08, 0.12, 0.15</x:v>
      </x:c>
      <x:c r="D3" s="13" t="str">
        <x:v>Lowering can recover weak soft materials.</x:v>
      </x:c>
    </x:row>
    <x:row r="4">
      <x:c r="A4" s="13" t="str">
        <x:v>hard_smooth_ult_min</x:v>
      </x:c>
      <x:c r="B4" s="13" t="str">
        <x:v>Hard_smooth dominates material_targets</x:v>
      </x:c>
      <x:c r="C4" s="13" t="str">
        <x:v>0.70, 0.78, 0.85, 0.90</x:v>
      </x:c>
      <x:c r="D4" s="13" t="str">
        <x:v>Raising may prevent everything from becoming hard_smooth.</x:v>
      </x:c>
    </x:row>
    <x:row r="5">
      <x:c r="A5" s="13" t="str">
        <x:v>foliage_intensity_max</x:v>
      </x:c>
      <x:c r="B5" s="13" t="str">
        <x:v>Keep stable for occluder_gate</x:v>
      </x:c>
      <x:c r="C5" s="13" t="str">
        <x:v>0.20, 0.25, 0.30</x:v>
      </x:c>
      <x:c r="D5" s="13" t="str">
        <x:v>Do not tune too far or foliage/soft labels blur.</x:v>
      </x:c>
    </x:row>
    <x:row r="6">
      <x:c r="A6" s="13" t="str">
        <x:v>partial_occluder_intensity_max</x:v>
      </x:c>
      <x:c r="B6" s="13" t="str">
        <x:v>Works but scene-dependent</x:v>
      </x:c>
      <x:c r="C6" s="13" t="str">
        <x:v>0.45, 0.55, 0.65</x:v>
      </x:c>
      <x:c r="D6" s="13" t="str">
        <x:v>Only matters for transparent/porous scenes.</x:v>
      </x:c>
    </x:row>
    <x:row r="7">
      <x:c r="A7" s="13" t="str">
        <x:v>material preset scoring</x:v>
      </x:c>
      <x:c r="B7" s="13" t="str">
        <x:v>Needs separate score</x:v>
      </x:c>
      <x:c r="C7" s="13" t="str">
        <x:v>reward soft_material_frac + polarization contrast</x:v>
      </x:c>
      <x:c r="D7" s="13" t="str">
        <x:v>Future notebook improvement.</x:v>
      </x:c>
    </x:row>
  </x:sheetData>
  <x:pageMargins left="0.7" right="0.7" top="0.75" bottom="0.75" header="0.3" footer="0.3"/>
  <x:tableParts count="1">
    <x:tablePart xmlns:r="http://schemas.openxmlformats.org/officeDocument/2006/relationships" r:id="R97be46787d294a6a"/>
  </x:tableParts>
</x:worksheet>
</file>